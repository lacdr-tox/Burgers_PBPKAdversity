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idenuniv1-my.sharepoint.com/personal/burgersej_vuw_leidenuniv_nl/Documents/Manuscripts/OSRISR_AdversityModels/ModelsCombined/"/>
    </mc:Choice>
  </mc:AlternateContent>
  <xr:revisionPtr revIDLastSave="13" documentId="8_{96D3501C-71A4-4414-AF17-E526DA08E5CB}" xr6:coauthVersionLast="47" xr6:coauthVersionMax="47" xr10:uidLastSave="{61A56421-1740-4AFD-89A3-EC6F7E36B369}"/>
  <bookViews>
    <workbookView xWindow="-28920" yWindow="-120" windowWidth="29040" windowHeight="15720" xr2:uid="{0CC24DD8-8C7F-41F5-9D13-3D1C77111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3" i="1"/>
  <c r="N4" i="1"/>
  <c r="M3" i="1"/>
  <c r="M4" i="1"/>
  <c r="N2" i="1"/>
  <c r="E6" i="1"/>
  <c r="E7" i="1"/>
  <c r="E5" i="1"/>
  <c r="F7" i="1"/>
  <c r="F5" i="1"/>
  <c r="F6" i="1"/>
</calcChain>
</file>

<file path=xl/sharedStrings.xml><?xml version="1.0" encoding="utf-8"?>
<sst xmlns="http://schemas.openxmlformats.org/spreadsheetml/2006/main" count="78" uniqueCount="18">
  <si>
    <t>compound</t>
  </si>
  <si>
    <t>NIT</t>
  </si>
  <si>
    <t>cells</t>
  </si>
  <si>
    <t>PHH</t>
  </si>
  <si>
    <t>ATF4</t>
  </si>
  <si>
    <t>NFE2L2</t>
  </si>
  <si>
    <t>HepG2</t>
  </si>
  <si>
    <t>DIC</t>
  </si>
  <si>
    <t>KET</t>
  </si>
  <si>
    <t>confidence</t>
  </si>
  <si>
    <t>ABC</t>
  </si>
  <si>
    <t>old sc_ISR</t>
  </si>
  <si>
    <t>old sc_OSR</t>
  </si>
  <si>
    <t>ATF4 PHH/HepG2</t>
  </si>
  <si>
    <t>NRF2 PHH/HepG2</t>
  </si>
  <si>
    <t>new sc_ISR</t>
  </si>
  <si>
    <t>new sc_OSR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</si>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</sst>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076A-2A6E-42AA-9C9A-39838E05D0D9}">
  <dimension ref="A1:N22"/>
  <sheetViews>
    <sheetView tabSelected="1" zoomScaleNormal="100" workbookViewId="0">
      <selection activeCell="M8" sqref="M8"/>
    </sheetView>
  </sheetViews>
  <sheetFormatPr defaultRowHeight="14.4" x14ac:dyDescent="0.3"/>
  <cols>
    <col min="6" max="6" width="8.88671875" customWidth="1"/>
    <col min="9" max="10" width="15.5546875" customWidth="1"/>
    <col min="11" max="12" width="10" customWidth="1"/>
    <col min="13" max="14" width="11.109375" customWidth="1"/>
  </cols>
  <sheetData>
    <row r="1" spans="1:14" x14ac:dyDescent="0.3">
      <c r="A1" t="s">
        <v>0</v>
      </c>
      <c r="B1" t="s">
        <v>9</v>
      </c>
      <c r="C1" t="s">
        <v>17</v>
      </c>
      <c r="D1" t="s">
        <v>2</v>
      </c>
      <c r="E1" t="s">
        <v>4</v>
      </c>
      <c r="F1" t="s">
        <v>5</v>
      </c>
      <c r="I1" t="s">
        <v>13</v>
      </c>
      <c r="J1" t="s">
        <v>14</v>
      </c>
      <c r="K1" t="s">
        <v>11</v>
      </c>
      <c r="L1" t="s">
        <v>12</v>
      </c>
      <c r="M1" t="s">
        <v>15</v>
      </c>
      <c r="N1" t="s">
        <v>16</v>
      </c>
    </row>
    <row r="2" spans="1:14" x14ac:dyDescent="0.3">
      <c r="A2" t="s">
        <v>1</v>
      </c>
      <c r="B2" t="s">
        <v>10</v>
      </c>
      <c r="C2">
        <v>125</v>
      </c>
      <c r="D2" t="s">
        <v>3</v>
      </c>
      <c r="E2">
        <v>5.37</v>
      </c>
      <c r="F2">
        <v>4.01</v>
      </c>
      <c r="H2" t="s">
        <v>1</v>
      </c>
      <c r="I2">
        <v>0.52064292467696194</v>
      </c>
      <c r="J2">
        <v>0.75123326286116976</v>
      </c>
      <c r="K2">
        <v>1</v>
      </c>
      <c r="L2">
        <v>1</v>
      </c>
      <c r="M2">
        <f>I2*K2</f>
        <v>0.52064292467696194</v>
      </c>
      <c r="N2">
        <f>J2*L2</f>
        <v>0.75123326286116976</v>
      </c>
    </row>
    <row r="3" spans="1:14" x14ac:dyDescent="0.3">
      <c r="A3" t="s">
        <v>1</v>
      </c>
      <c r="B3" t="s">
        <v>10</v>
      </c>
      <c r="C3">
        <v>25</v>
      </c>
      <c r="D3" t="s">
        <v>3</v>
      </c>
      <c r="E3">
        <v>1.99</v>
      </c>
      <c r="F3">
        <v>1.96</v>
      </c>
      <c r="H3" t="s">
        <v>7</v>
      </c>
      <c r="I3">
        <v>1.1550632911392404</v>
      </c>
      <c r="J3">
        <v>1.7045908183632734</v>
      </c>
      <c r="K3">
        <v>0.23871157400000001</v>
      </c>
      <c r="L3">
        <v>0.21481080499999999</v>
      </c>
      <c r="M3">
        <f t="shared" ref="M3:M4" si="0">I3*K3</f>
        <v>0.27572697629746834</v>
      </c>
      <c r="N3">
        <f t="shared" ref="N3:N4" si="1">J3*L3</f>
        <v>0.36616452588822351</v>
      </c>
    </row>
    <row r="4" spans="1:14" x14ac:dyDescent="0.3">
      <c r="A4" t="s">
        <v>1</v>
      </c>
      <c r="B4" t="s">
        <v>10</v>
      </c>
      <c r="C4">
        <v>5</v>
      </c>
      <c r="D4" t="s">
        <v>3</v>
      </c>
      <c r="E4">
        <v>0.9</v>
      </c>
      <c r="F4">
        <v>-0.64</v>
      </c>
      <c r="H4" t="s">
        <v>8</v>
      </c>
      <c r="I4">
        <v>2.3047210300429186</v>
      </c>
      <c r="J4">
        <v>1.6255506607929515</v>
      </c>
      <c r="K4">
        <v>0.16918745399999999</v>
      </c>
      <c r="L4">
        <v>1.525903408</v>
      </c>
      <c r="M4">
        <f t="shared" si="0"/>
        <v>0.38992988325321887</v>
      </c>
      <c r="N4">
        <f t="shared" si="1"/>
        <v>2.4804332931806168</v>
      </c>
    </row>
    <row r="5" spans="1:14" x14ac:dyDescent="0.3">
      <c r="A5" t="s">
        <v>1</v>
      </c>
      <c r="B5" t="s">
        <v>10</v>
      </c>
      <c r="C5">
        <v>120</v>
      </c>
      <c r="D5" t="s">
        <v>6</v>
      </c>
      <c r="E5">
        <f>(1.82+1.81)/2</f>
        <v>1.8149999999999999</v>
      </c>
      <c r="F5">
        <f>(3.18+2.79)/2</f>
        <v>2.9850000000000003</v>
      </c>
    </row>
    <row r="6" spans="1:14" x14ac:dyDescent="0.3">
      <c r="A6" t="s">
        <v>1</v>
      </c>
      <c r="B6" t="s">
        <v>10</v>
      </c>
      <c r="C6">
        <v>30</v>
      </c>
      <c r="D6" t="s">
        <v>6</v>
      </c>
      <c r="E6">
        <f>(5.77+5.5)/2</f>
        <v>5.6349999999999998</v>
      </c>
      <c r="F6">
        <f>(3.15+3.09)/2</f>
        <v>3.12</v>
      </c>
    </row>
    <row r="7" spans="1:14" x14ac:dyDescent="0.3">
      <c r="A7" t="s">
        <v>1</v>
      </c>
      <c r="B7" t="s">
        <v>10</v>
      </c>
      <c r="C7">
        <v>6</v>
      </c>
      <c r="D7" t="s">
        <v>6</v>
      </c>
      <c r="E7">
        <f>(8.47+8.36)/2</f>
        <v>8.4149999999999991</v>
      </c>
      <c r="F7">
        <f>(1.4+0.58)/2</f>
        <v>0.99</v>
      </c>
    </row>
    <row r="8" spans="1:14" x14ac:dyDescent="0.3">
      <c r="A8" t="s">
        <v>7</v>
      </c>
      <c r="B8" t="s">
        <v>10</v>
      </c>
      <c r="C8">
        <v>400</v>
      </c>
      <c r="D8" t="s">
        <v>3</v>
      </c>
      <c r="E8">
        <v>7.08</v>
      </c>
      <c r="F8">
        <v>1.89</v>
      </c>
    </row>
    <row r="9" spans="1:14" x14ac:dyDescent="0.3">
      <c r="A9" t="s">
        <v>7</v>
      </c>
      <c r="B9" t="s">
        <v>10</v>
      </c>
      <c r="C9">
        <v>80</v>
      </c>
      <c r="D9" t="s">
        <v>3</v>
      </c>
      <c r="E9">
        <v>0.22</v>
      </c>
      <c r="F9">
        <v>2.38</v>
      </c>
    </row>
    <row r="10" spans="1:14" x14ac:dyDescent="0.3">
      <c r="A10" t="s">
        <v>7</v>
      </c>
      <c r="B10" t="s">
        <v>10</v>
      </c>
      <c r="C10">
        <v>16</v>
      </c>
      <c r="D10" t="s">
        <v>3</v>
      </c>
      <c r="E10">
        <v>-0.28999999999999998</v>
      </c>
      <c r="F10">
        <v>0.56999999999999995</v>
      </c>
    </row>
    <row r="11" spans="1:14" x14ac:dyDescent="0.3">
      <c r="A11" t="s">
        <v>7</v>
      </c>
      <c r="B11" t="s">
        <v>10</v>
      </c>
      <c r="C11">
        <v>404</v>
      </c>
      <c r="D11" t="s">
        <v>6</v>
      </c>
      <c r="E11">
        <v>5.91</v>
      </c>
      <c r="F11">
        <v>1.43</v>
      </c>
    </row>
    <row r="12" spans="1:14" x14ac:dyDescent="0.3">
      <c r="A12" t="s">
        <v>7</v>
      </c>
      <c r="B12" t="s">
        <v>10</v>
      </c>
      <c r="C12">
        <v>202</v>
      </c>
      <c r="D12" t="s">
        <v>6</v>
      </c>
      <c r="E12">
        <v>2.99</v>
      </c>
      <c r="F12">
        <v>1.86</v>
      </c>
    </row>
    <row r="13" spans="1:14" x14ac:dyDescent="0.3">
      <c r="A13" t="s">
        <v>7</v>
      </c>
      <c r="B13" t="s">
        <v>10</v>
      </c>
      <c r="C13">
        <v>101</v>
      </c>
      <c r="D13" t="s">
        <v>6</v>
      </c>
      <c r="E13">
        <v>-0.77</v>
      </c>
      <c r="F13">
        <v>1.18</v>
      </c>
    </row>
    <row r="14" spans="1:14" x14ac:dyDescent="0.3">
      <c r="A14" t="s">
        <v>7</v>
      </c>
      <c r="B14" t="s">
        <v>10</v>
      </c>
      <c r="C14">
        <v>50.5</v>
      </c>
      <c r="D14" t="s">
        <v>6</v>
      </c>
      <c r="E14">
        <v>1.59</v>
      </c>
      <c r="F14">
        <v>0.97</v>
      </c>
    </row>
    <row r="15" spans="1:14" x14ac:dyDescent="0.3">
      <c r="A15" t="s">
        <v>7</v>
      </c>
      <c r="B15" t="s">
        <v>10</v>
      </c>
      <c r="C15">
        <v>10.1</v>
      </c>
      <c r="D15" t="s">
        <v>6</v>
      </c>
      <c r="E15">
        <v>0.71</v>
      </c>
      <c r="F15">
        <v>-0.19</v>
      </c>
    </row>
    <row r="16" spans="1:14" x14ac:dyDescent="0.3">
      <c r="A16" t="s">
        <v>8</v>
      </c>
      <c r="B16" t="s">
        <v>10</v>
      </c>
      <c r="C16">
        <v>15</v>
      </c>
      <c r="D16" t="s">
        <v>3</v>
      </c>
      <c r="E16">
        <v>4.1100000000000003</v>
      </c>
      <c r="F16">
        <v>2.81</v>
      </c>
    </row>
    <row r="17" spans="1:6" x14ac:dyDescent="0.3">
      <c r="A17" t="s">
        <v>8</v>
      </c>
      <c r="B17" t="s">
        <v>10</v>
      </c>
      <c r="C17">
        <v>3</v>
      </c>
      <c r="D17" t="s">
        <v>3</v>
      </c>
      <c r="E17">
        <v>1.26</v>
      </c>
      <c r="F17">
        <v>0.88</v>
      </c>
    </row>
    <row r="18" spans="1:6" x14ac:dyDescent="0.3">
      <c r="A18" t="s">
        <v>8</v>
      </c>
      <c r="B18" t="s">
        <v>10</v>
      </c>
      <c r="C18">
        <v>0.6</v>
      </c>
      <c r="D18" t="s">
        <v>3</v>
      </c>
      <c r="E18">
        <v>1.1599999999999999</v>
      </c>
      <c r="F18">
        <v>0.65</v>
      </c>
    </row>
    <row r="19" spans="1:6" x14ac:dyDescent="0.3">
      <c r="A19" t="s">
        <v>8</v>
      </c>
      <c r="B19" t="s">
        <v>10</v>
      </c>
      <c r="C19">
        <v>66</v>
      </c>
      <c r="D19" t="s">
        <v>6</v>
      </c>
      <c r="E19">
        <v>5.93</v>
      </c>
      <c r="F19">
        <v>3.7</v>
      </c>
    </row>
    <row r="20" spans="1:6" x14ac:dyDescent="0.3">
      <c r="A20" t="s">
        <v>8</v>
      </c>
      <c r="B20" t="s">
        <v>10</v>
      </c>
      <c r="C20">
        <v>33</v>
      </c>
      <c r="D20" t="s">
        <v>6</v>
      </c>
      <c r="E20">
        <v>4.04</v>
      </c>
      <c r="F20">
        <v>1.92</v>
      </c>
    </row>
    <row r="21" spans="1:6" x14ac:dyDescent="0.3">
      <c r="A21" t="s">
        <v>8</v>
      </c>
      <c r="B21" t="s">
        <v>10</v>
      </c>
      <c r="C21">
        <v>6.6</v>
      </c>
      <c r="D21" t="s">
        <v>6</v>
      </c>
      <c r="E21">
        <v>-2.19</v>
      </c>
      <c r="F21">
        <v>1.0900000000000001</v>
      </c>
    </row>
    <row r="22" spans="1:6" x14ac:dyDescent="0.3">
      <c r="A22" t="s">
        <v>8</v>
      </c>
      <c r="B22" t="s">
        <v>10</v>
      </c>
      <c r="C22">
        <v>3.3</v>
      </c>
      <c r="D22" t="s">
        <v>6</v>
      </c>
      <c r="E22">
        <v>-1.23</v>
      </c>
      <c r="F22">
        <v>-0.39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Burgers, E.J. (Elsje)</dc:creator>
  <cp:lastModifiedBy>Burgers, E.J. (Elsje)</cp:lastModifiedBy>
  <dcterms:created xsi:type="dcterms:W3CDTF">2026-03-09T14:03:37Z</dcterms:created>
  <dcterms:modified xsi:type="dcterms:W3CDTF">2026-03-17T14:02:29Z</dcterms:modified>
</cp:coreProperties>
</file>